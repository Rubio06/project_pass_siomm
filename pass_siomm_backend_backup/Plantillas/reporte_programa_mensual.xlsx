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596" yWindow="84" windowWidth="12384" windowHeight="11052"/>
  </bookViews>
  <sheets>
    <sheet name="Hoja1" sheetId="1" r:id="rId1"/>
    <sheet name="Hoja2" sheetId="2" r:id="rId2"/>
    <sheet name="Hoja3" sheetId="3" r:id="rId3"/>
  </sheets>
  <definedNames>
    <definedName name="area">Hoja1!$AK$36</definedName>
    <definedName name="_xlnm.Print_Area" localSheetId="0">Hoja1!$A$1:$AJ$39</definedName>
    <definedName name="economicos">Hoja1!$AM$36</definedName>
    <definedName name="extraido">Hoja1!$AO$36</definedName>
    <definedName name="flag_pro">Hoja1!$AP$36</definedName>
    <definedName name="noeconomicos">Hoja1!$AN$36</definedName>
    <definedName name="prg_altcor">Hoja1!$V$36</definedName>
    <definedName name="prg_leyag">Hoja1!$AA$36</definedName>
    <definedName name="prg_leycu">Hoja1!$AB$36</definedName>
    <definedName name="prg_leypb">Hoja1!$AC$36</definedName>
    <definedName name="prg_leyzn">Hoja1!$AD$36</definedName>
    <definedName name="prg_loncor">Hoja1!$U$36</definedName>
    <definedName name="prg_tmsextraid">Hoja1!$Y$36</definedName>
    <definedName name="prg_tmsrotdil">Hoja1!$X$36</definedName>
    <definedName name="prg_tmsrotvet">Hoja1!$W$36</definedName>
    <definedName name="prg_vptdil">Hoja1!$AE$36</definedName>
    <definedName name="reporte">Hoja1!$A$1:$AJ$39</definedName>
    <definedName name="rotas">Hoja1!$AL$36</definedName>
    <definedName name="total_ag">Hoja1!$AA$36</definedName>
    <definedName name="total_ag1">Hoja1!$AA$37</definedName>
    <definedName name="total_alt_corte">Hoja1!$V$37</definedName>
    <definedName name="total_cu">Hoja1!$AB$36</definedName>
    <definedName name="total_cu1">Hoja1!$AB$37</definedName>
    <definedName name="total_dilucion">Hoja1!$R$37</definedName>
    <definedName name="total_dilucion_econo">Hoja1!$R$38</definedName>
    <definedName name="total_dilucion_noecono">Hoja1!$R$39</definedName>
    <definedName name="total_dilusion">Hoja1!$R$37</definedName>
    <definedName name="total_long_corte">Hoja1!$U$37</definedName>
    <definedName name="total_pb">Hoja1!$AC$36</definedName>
    <definedName name="total_pb1">Hoja1!$AC$37</definedName>
    <definedName name="total_tms_extraido">Hoja1!$Y$37</definedName>
    <definedName name="total_tms_rot_dil">Hoja1!$X$37</definedName>
    <definedName name="total_tms_rot_vet">Hoja1!$W$37</definedName>
    <definedName name="total_veta">Hoja1!$Q$37</definedName>
    <definedName name="total_veta_econo">Hoja1!$Q$38</definedName>
    <definedName name="total_veta_noecono">Hoja1!$Q$39</definedName>
    <definedName name="total_vpt1">Hoja1!$AE$37</definedName>
    <definedName name="total_zn1">Hoja1!$AD$37</definedName>
    <definedName name="val_vpt">Hoja1!$AR$36</definedName>
  </definedNames>
  <calcPr calcId="125725"/>
</workbook>
</file>

<file path=xl/calcChain.xml><?xml version="1.0" encoding="utf-8"?>
<calcChain xmlns="http://schemas.openxmlformats.org/spreadsheetml/2006/main">
  <c r="AJ1" i="1"/>
  <c r="AT36"/>
  <c r="K39" s="1"/>
  <c r="AS36"/>
  <c r="K38" s="1"/>
  <c r="AR36"/>
  <c r="AE36"/>
  <c r="AD36"/>
  <c r="AC36"/>
  <c r="AB36"/>
  <c r="AA36"/>
  <c r="AP36"/>
  <c r="K37" s="1"/>
  <c r="Y36"/>
  <c r="X36"/>
  <c r="X39" s="1"/>
  <c r="W36"/>
  <c r="V36"/>
  <c r="U36"/>
  <c r="R36"/>
  <c r="Q36"/>
  <c r="AO36"/>
  <c r="AN36"/>
  <c r="AM36"/>
  <c r="AL36"/>
  <c r="AK36"/>
  <c r="V39" s="1"/>
  <c r="O36"/>
  <c r="N36"/>
  <c r="K36"/>
  <c r="AE38" l="1"/>
  <c r="U39"/>
  <c r="W39"/>
  <c r="Q38"/>
  <c r="R38"/>
  <c r="Q37"/>
  <c r="Q39"/>
  <c r="R37"/>
  <c r="R39"/>
  <c r="U38"/>
  <c r="V38"/>
  <c r="W38"/>
  <c r="X38"/>
  <c r="Y38"/>
  <c r="AA37"/>
  <c r="AA39"/>
  <c r="AB38"/>
  <c r="AC37"/>
  <c r="AC39"/>
  <c r="AD38"/>
  <c r="AE37"/>
  <c r="AE39"/>
  <c r="U37"/>
  <c r="V37"/>
  <c r="W37"/>
  <c r="X37"/>
  <c r="Y37"/>
  <c r="Y39"/>
  <c r="AA38"/>
  <c r="AB37"/>
  <c r="AB39"/>
  <c r="AC38"/>
  <c r="AD37"/>
  <c r="AD39"/>
  <c r="P38" l="1"/>
  <c r="P39"/>
  <c r="P37"/>
</calcChain>
</file>

<file path=xl/sharedStrings.xml><?xml version="1.0" encoding="utf-8"?>
<sst xmlns="http://schemas.openxmlformats.org/spreadsheetml/2006/main" count="66" uniqueCount="65">
  <si>
    <t>Ala</t>
  </si>
  <si>
    <t>Cod.Cto.</t>
  </si>
  <si>
    <t>Blocks</t>
  </si>
  <si>
    <t>RMR Piso</t>
  </si>
  <si>
    <t>RMR Veta</t>
  </si>
  <si>
    <t>RMR Techo</t>
  </si>
  <si>
    <t>Avance MTS</t>
  </si>
  <si>
    <t>Seccion Ancho</t>
  </si>
  <si>
    <t>Seccion Altura</t>
  </si>
  <si>
    <t>TMS Desmonte</t>
  </si>
  <si>
    <t>TMS Total</t>
  </si>
  <si>
    <t>Ancho Minado</t>
  </si>
  <si>
    <t>Ancho Veta</t>
  </si>
  <si>
    <t>Ancho Dilusión</t>
  </si>
  <si>
    <t>Tramo Minable          (Ej. 00@10;20@30..)</t>
  </si>
  <si>
    <t>Nro.Tram.Min.</t>
  </si>
  <si>
    <t>Longitud de Corte</t>
  </si>
  <si>
    <t>Altura de Corte</t>
  </si>
  <si>
    <t>TMS Rotas Veta</t>
  </si>
  <si>
    <t>TMS Rotas Dilusión</t>
  </si>
  <si>
    <t>TMS Extraído</t>
  </si>
  <si>
    <t>Fecha Muestreo</t>
  </si>
  <si>
    <t>Ag (gr)</t>
  </si>
  <si>
    <t>Cu(%)</t>
  </si>
  <si>
    <t>Pb(%)</t>
  </si>
  <si>
    <t>Zn(%)</t>
  </si>
  <si>
    <t>VPT US$</t>
  </si>
  <si>
    <t>Rentabilidad</t>
  </si>
  <si>
    <t>Metodo Minado</t>
  </si>
  <si>
    <t>Hombres x Labor</t>
  </si>
  <si>
    <t>Descripción del Proyecto</t>
  </si>
  <si>
    <t>Nombre del Proyecto</t>
  </si>
  <si>
    <t>Area</t>
  </si>
  <si>
    <t>Rotas</t>
  </si>
  <si>
    <t>Economicos</t>
  </si>
  <si>
    <t>Extraido</t>
  </si>
  <si>
    <t>Flag_Pro</t>
  </si>
  <si>
    <t>Fase</t>
  </si>
  <si>
    <t>Sistema de Operaciones Minero Metalúrgicos</t>
  </si>
  <si>
    <t>XC</t>
  </si>
  <si>
    <t>0534E</t>
  </si>
  <si>
    <t xml:space="preserve"> </t>
  </si>
  <si>
    <t>Pan American Silver SA Mina Quiruvilca</t>
  </si>
  <si>
    <t>Unidad Quiruvilca</t>
  </si>
  <si>
    <t>Veta</t>
  </si>
  <si>
    <t>Nivel</t>
  </si>
  <si>
    <t>Tipo Labor</t>
  </si>
  <si>
    <t>Labor</t>
  </si>
  <si>
    <t>Noeconomicos</t>
  </si>
  <si>
    <t>Total Producción</t>
  </si>
  <si>
    <t>Blocks Económicos</t>
  </si>
  <si>
    <t>Blocks No Económicos</t>
  </si>
  <si>
    <t>Valor_vpt</t>
  </si>
  <si>
    <t>blocks economicos</t>
  </si>
  <si>
    <t>blocks no economicos</t>
  </si>
  <si>
    <t>Unidad Econimica</t>
  </si>
  <si>
    <t xml:space="preserve">EXPLORACION                             </t>
  </si>
  <si>
    <t>SUR</t>
  </si>
  <si>
    <t>Contrata</t>
  </si>
  <si>
    <t>Zona</t>
  </si>
  <si>
    <t>PASSAC Mina Quiruvilca U.E.A. Quiruvilca</t>
  </si>
  <si>
    <t>Profundización 340</t>
  </si>
  <si>
    <t>CutOff</t>
  </si>
  <si>
    <t>Nro.Prog</t>
  </si>
  <si>
    <t>Programa Mensual de Labores  - JUNIO 2010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</si>
</sst>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 wrapText="1"/>
    </xf>
    <xf numFmtId="0" fontId="3" fillId="0" borderId="2" xfId="0" applyFont="1" applyBorder="1"/>
    <xf numFmtId="0" fontId="3" fillId="0" borderId="0" xfId="0" applyFont="1" applyBorder="1"/>
    <xf numFmtId="2" fontId="3" fillId="0" borderId="0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2" fontId="3" fillId="0" borderId="4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2" fillId="2" borderId="8" xfId="0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Border="1"/>
    <xf numFmtId="4" fontId="3" fillId="0" borderId="6" xfId="0" applyNumberFormat="1" applyFont="1" applyBorder="1"/>
    <xf numFmtId="4" fontId="3" fillId="0" borderId="4" xfId="0" applyNumberFormat="1" applyFont="1" applyBorder="1"/>
    <xf numFmtId="4" fontId="3" fillId="0" borderId="7" xfId="0" applyNumberFormat="1" applyFont="1" applyBorder="1"/>
    <xf numFmtId="0" fontId="5" fillId="3" borderId="1" xfId="0" applyFont="1" applyFill="1" applyBorder="1"/>
    <xf numFmtId="2" fontId="5" fillId="3" borderId="1" xfId="0" applyNumberFormat="1" applyFont="1" applyFill="1" applyBorder="1" applyAlignment="1">
      <alignment horizontal="center" vertical="center" wrapText="1"/>
    </xf>
    <xf numFmtId="4" fontId="5" fillId="3" borderId="1" xfId="0" applyNumberFormat="1" applyFont="1" applyFill="1" applyBorder="1"/>
    <xf numFmtId="0" fontId="5" fillId="3" borderId="0" xfId="0" applyFont="1" applyFill="1"/>
    <xf numFmtId="0" fontId="4" fillId="3" borderId="0" xfId="0" applyFont="1" applyFill="1"/>
    <xf numFmtId="4" fontId="2" fillId="4" borderId="1" xfId="0" applyNumberFormat="1" applyFont="1" applyFill="1" applyBorder="1"/>
    <xf numFmtId="2" fontId="2" fillId="4" borderId="1" xfId="0" applyNumberFormat="1" applyFont="1" applyFill="1" applyBorder="1"/>
    <xf numFmtId="4" fontId="3" fillId="4" borderId="1" xfId="0" applyNumberFormat="1" applyFont="1" applyFill="1" applyBorder="1"/>
    <xf numFmtId="0" fontId="3" fillId="0" borderId="8" xfId="0" applyFont="1" applyBorder="1"/>
    <xf numFmtId="0" fontId="6" fillId="0" borderId="8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 wrapText="1"/>
    </xf>
    <xf numFmtId="0" fontId="3" fillId="0" borderId="5" xfId="0" applyFont="1" applyBorder="1"/>
    <xf numFmtId="4" fontId="3" fillId="0" borderId="8" xfId="0" applyNumberFormat="1" applyFont="1" applyBorder="1"/>
    <xf numFmtId="14" fontId="3" fillId="0" borderId="0" xfId="0" applyNumberFormat="1" applyFont="1" applyAlignment="1">
      <alignment horizontal="center"/>
    </xf>
    <xf numFmtId="0" fontId="3" fillId="0" borderId="1" xfId="0" applyFont="1" applyBorder="1"/>
    <xf numFmtId="0" fontId="3" fillId="6" borderId="1" xfId="0" applyFont="1" applyFill="1" applyBorder="1"/>
    <xf numFmtId="0" fontId="2" fillId="6" borderId="1" xfId="0" applyFont="1" applyFill="1" applyBorder="1"/>
    <xf numFmtId="0" fontId="8" fillId="0" borderId="0" xfId="0" applyFont="1"/>
    <xf numFmtId="2" fontId="8" fillId="0" borderId="0" xfId="0" applyNumberFormat="1" applyFont="1" applyAlignment="1">
      <alignment horizontal="center" vertical="center" wrapText="1"/>
    </xf>
    <xf numFmtId="0" fontId="7" fillId="5" borderId="5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42"/>
  <sheetViews>
    <sheetView tabSelected="1" workbookViewId="0">
      <selection sqref="A1:AJ39"/>
    </sheetView>
  </sheetViews>
  <sheetFormatPr baseColWidth="10" defaultRowHeight="14.4"/>
  <cols>
    <col min="1" max="1" width="14.109375" customWidth="1"/>
    <col min="2" max="2" width="9.88671875" customWidth="1"/>
    <col min="3" max="3" width="7.21875" customWidth="1"/>
    <col min="4" max="4" width="27.6640625" customWidth="1"/>
    <col min="5" max="5" width="6.33203125" customWidth="1"/>
    <col min="6" max="6" width="9.5546875" customWidth="1"/>
    <col min="7" max="7" width="6.33203125" style="1" bestFit="1" customWidth="1"/>
    <col min="8" max="8" width="5.77734375" customWidth="1"/>
    <col min="9" max="9" width="5.6640625" customWidth="1"/>
    <col min="10" max="10" width="8.6640625" customWidth="1"/>
    <col min="11" max="11" width="5.6640625" customWidth="1"/>
    <col min="12" max="12" width="7" customWidth="1"/>
    <col min="13" max="13" width="6.33203125" customWidth="1"/>
    <col min="14" max="14" width="7.6640625" customWidth="1"/>
    <col min="15" max="15" width="8.44140625" customWidth="1"/>
    <col min="16" max="16" width="7.44140625" customWidth="1"/>
    <col min="17" max="17" width="7.5546875" customWidth="1"/>
    <col min="18" max="18" width="8.21875" customWidth="1"/>
    <col min="19" max="19" width="13.21875" customWidth="1"/>
    <col min="20" max="20" width="9.5546875" bestFit="1" customWidth="1"/>
    <col min="21" max="21" width="8.21875" customWidth="1"/>
    <col min="22" max="22" width="8.109375" customWidth="1"/>
    <col min="23" max="23" width="7.109375" customWidth="1"/>
    <col min="24" max="24" width="8.21875" customWidth="1"/>
    <col min="25" max="25" width="8.77734375" customWidth="1"/>
    <col min="26" max="26" width="6.77734375" bestFit="1" customWidth="1"/>
    <col min="27" max="27" width="6.6640625" customWidth="1"/>
    <col min="28" max="28" width="6.44140625" customWidth="1"/>
    <col min="29" max="29" width="7.6640625" customWidth="1"/>
    <col min="30" max="31" width="8" customWidth="1"/>
    <col min="32" max="32" width="8.33203125" bestFit="1" customWidth="1"/>
    <col min="33" max="33" width="7.77734375" bestFit="1" customWidth="1"/>
    <col min="34" max="34" width="9" customWidth="1"/>
    <col min="35" max="35" width="27.5546875" customWidth="1"/>
    <col min="36" max="36" width="24.44140625" customWidth="1"/>
    <col min="37" max="39" width="0" hidden="1" customWidth="1"/>
    <col min="40" max="40" width="14.33203125" hidden="1" customWidth="1"/>
    <col min="41" max="46" width="0" hidden="1" customWidth="1"/>
  </cols>
  <sheetData>
    <row r="1" spans="1:46" s="5" customFormat="1" ht="10.199999999999999">
      <c r="A1" s="5" t="s">
        <v>38</v>
      </c>
      <c r="G1" s="6"/>
      <c r="AJ1" s="35">
        <f ca="1">TODAY()</f>
        <v>40373</v>
      </c>
    </row>
    <row r="2" spans="1:46" s="5" customFormat="1" ht="10.199999999999999">
      <c r="A2" s="5" t="s">
        <v>42</v>
      </c>
      <c r="G2" s="6"/>
    </row>
    <row r="3" spans="1:46" s="5" customFormat="1" ht="10.199999999999999">
      <c r="A3" s="5" t="s">
        <v>43</v>
      </c>
      <c r="G3" s="6"/>
    </row>
    <row r="4" spans="1:46" s="5" customFormat="1" ht="10.199999999999999">
      <c r="G4" s="6"/>
    </row>
    <row r="5" spans="1:46" s="5" customFormat="1" ht="10.199999999999999">
      <c r="A5" s="38" t="s">
        <v>37</v>
      </c>
      <c r="B5" s="36" t="s">
        <v>56</v>
      </c>
      <c r="C5" s="37" t="s">
        <v>58</v>
      </c>
      <c r="D5" s="36" t="s">
        <v>60</v>
      </c>
      <c r="E5" s="37" t="s">
        <v>62</v>
      </c>
      <c r="F5" s="36"/>
      <c r="G5" s="6"/>
    </row>
    <row r="6" spans="1:46" s="5" customFormat="1" ht="10.199999999999999">
      <c r="A6" s="38" t="s">
        <v>55</v>
      </c>
      <c r="B6" s="36" t="s">
        <v>57</v>
      </c>
      <c r="C6" s="37" t="s">
        <v>59</v>
      </c>
      <c r="D6" s="36" t="s">
        <v>61</v>
      </c>
      <c r="E6" s="37" t="s">
        <v>63</v>
      </c>
      <c r="F6" s="36">
        <v>2010000193</v>
      </c>
      <c r="G6" s="6"/>
    </row>
    <row r="7" spans="1:46" s="5" customFormat="1" ht="10.199999999999999">
      <c r="G7" s="6"/>
    </row>
    <row r="8" spans="1:46" s="5" customFormat="1" ht="10.199999999999999">
      <c r="G8" s="6"/>
    </row>
    <row r="9" spans="1:46" s="39" customFormat="1" ht="18">
      <c r="A9" s="39" t="s">
        <v>64</v>
      </c>
      <c r="G9" s="40"/>
    </row>
    <row r="10" spans="1:46" s="3" customFormat="1" ht="30.6">
      <c r="A10" s="13" t="s">
        <v>44</v>
      </c>
      <c r="B10" s="4" t="s">
        <v>45</v>
      </c>
      <c r="C10" s="16" t="s">
        <v>46</v>
      </c>
      <c r="D10" s="4" t="s">
        <v>47</v>
      </c>
      <c r="E10" s="16" t="s">
        <v>0</v>
      </c>
      <c r="F10" s="4" t="s">
        <v>1</v>
      </c>
      <c r="G10" s="17" t="s">
        <v>2</v>
      </c>
      <c r="H10" s="4" t="s">
        <v>3</v>
      </c>
      <c r="I10" s="16" t="s">
        <v>4</v>
      </c>
      <c r="J10" s="4" t="s">
        <v>5</v>
      </c>
      <c r="K10" s="16" t="s">
        <v>6</v>
      </c>
      <c r="L10" s="4" t="s">
        <v>7</v>
      </c>
      <c r="M10" s="16" t="s">
        <v>8</v>
      </c>
      <c r="N10" s="4" t="s">
        <v>9</v>
      </c>
      <c r="O10" s="16" t="s">
        <v>10</v>
      </c>
      <c r="P10" s="4" t="s">
        <v>11</v>
      </c>
      <c r="Q10" s="16" t="s">
        <v>12</v>
      </c>
      <c r="R10" s="4" t="s">
        <v>13</v>
      </c>
      <c r="S10" s="16" t="s">
        <v>14</v>
      </c>
      <c r="T10" s="4" t="s">
        <v>15</v>
      </c>
      <c r="U10" s="16" t="s">
        <v>16</v>
      </c>
      <c r="V10" s="4" t="s">
        <v>17</v>
      </c>
      <c r="W10" s="16" t="s">
        <v>18</v>
      </c>
      <c r="X10" s="4" t="s">
        <v>19</v>
      </c>
      <c r="Y10" s="16" t="s">
        <v>20</v>
      </c>
      <c r="Z10" s="4" t="s">
        <v>21</v>
      </c>
      <c r="AA10" s="16" t="s">
        <v>22</v>
      </c>
      <c r="AB10" s="4" t="s">
        <v>23</v>
      </c>
      <c r="AC10" s="16" t="s">
        <v>24</v>
      </c>
      <c r="AD10" s="4" t="s">
        <v>25</v>
      </c>
      <c r="AE10" s="16" t="s">
        <v>26</v>
      </c>
      <c r="AF10" s="4" t="s">
        <v>27</v>
      </c>
      <c r="AG10" s="16" t="s">
        <v>28</v>
      </c>
      <c r="AH10" s="4" t="s">
        <v>29</v>
      </c>
      <c r="AI10" s="16" t="s">
        <v>30</v>
      </c>
      <c r="AJ10" s="4" t="s">
        <v>31</v>
      </c>
      <c r="AK10" s="2" t="s">
        <v>32</v>
      </c>
      <c r="AL10" s="2" t="s">
        <v>33</v>
      </c>
      <c r="AM10" s="2" t="s">
        <v>34</v>
      </c>
      <c r="AN10" s="2" t="s">
        <v>48</v>
      </c>
      <c r="AO10" s="2" t="s">
        <v>35</v>
      </c>
      <c r="AP10" s="2" t="s">
        <v>36</v>
      </c>
      <c r="AQ10" s="2" t="s">
        <v>37</v>
      </c>
      <c r="AR10" s="2" t="s">
        <v>52</v>
      </c>
      <c r="AS10" s="3" t="s">
        <v>53</v>
      </c>
      <c r="AT10" s="3" t="s">
        <v>54</v>
      </c>
    </row>
    <row r="11" spans="1:46">
      <c r="A11" s="7">
        <v>822</v>
      </c>
      <c r="B11" s="14">
        <v>340</v>
      </c>
      <c r="C11" s="8" t="s">
        <v>39</v>
      </c>
      <c r="D11" s="14" t="s">
        <v>40</v>
      </c>
      <c r="E11" s="8" t="s">
        <v>41</v>
      </c>
      <c r="F11" s="14"/>
      <c r="G11" s="9"/>
      <c r="H11" s="14"/>
      <c r="I11" s="8"/>
      <c r="J11" s="14"/>
      <c r="K11" s="18">
        <v>50</v>
      </c>
      <c r="L11" s="19">
        <v>2.5</v>
      </c>
      <c r="M11" s="18">
        <v>3</v>
      </c>
      <c r="N11" s="19">
        <v>975</v>
      </c>
      <c r="O11" s="18">
        <v>0</v>
      </c>
      <c r="P11" s="19"/>
      <c r="Q11" s="18"/>
      <c r="R11" s="19"/>
      <c r="S11" s="18"/>
      <c r="T11" s="19"/>
      <c r="U11" s="18"/>
      <c r="V11" s="19"/>
      <c r="W11" s="18"/>
      <c r="X11" s="19"/>
      <c r="Y11" s="18">
        <v>0</v>
      </c>
      <c r="Z11" s="19"/>
      <c r="AA11" s="18"/>
      <c r="AB11" s="19"/>
      <c r="AC11" s="18"/>
      <c r="AD11" s="19"/>
      <c r="AE11" s="18"/>
      <c r="AF11" s="19"/>
      <c r="AG11" s="18"/>
      <c r="AH11" s="19">
        <v>6</v>
      </c>
      <c r="AI11" s="18"/>
      <c r="AJ11" s="19"/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1</v>
      </c>
      <c r="AQ11" s="5">
        <v>1</v>
      </c>
      <c r="AR11" s="5">
        <v>30</v>
      </c>
      <c r="AS11" s="5"/>
    </row>
    <row r="12" spans="1:46">
      <c r="A12" s="7"/>
      <c r="B12" s="14"/>
      <c r="C12" s="8"/>
      <c r="D12" s="14"/>
      <c r="E12" s="8"/>
      <c r="F12" s="14"/>
      <c r="G12" s="9"/>
      <c r="H12" s="14"/>
      <c r="I12" s="8"/>
      <c r="J12" s="14"/>
      <c r="K12" s="18"/>
      <c r="L12" s="19"/>
      <c r="M12" s="18"/>
      <c r="N12" s="19"/>
      <c r="O12" s="18"/>
      <c r="P12" s="19"/>
      <c r="Q12" s="18"/>
      <c r="R12" s="19"/>
      <c r="S12" s="18"/>
      <c r="T12" s="19"/>
      <c r="U12" s="18"/>
      <c r="V12" s="19"/>
      <c r="W12" s="18"/>
      <c r="X12" s="19"/>
      <c r="Y12" s="18"/>
      <c r="Z12" s="19"/>
      <c r="AA12" s="18"/>
      <c r="AB12" s="19"/>
      <c r="AC12" s="18"/>
      <c r="AD12" s="19"/>
      <c r="AE12" s="18"/>
      <c r="AF12" s="19"/>
      <c r="AG12" s="18"/>
      <c r="AH12" s="19"/>
      <c r="AI12" s="18"/>
      <c r="AJ12" s="19"/>
      <c r="AK12" s="5"/>
      <c r="AL12" s="5"/>
      <c r="AM12" s="5"/>
      <c r="AN12" s="5"/>
      <c r="AO12" s="5"/>
      <c r="AP12" s="5"/>
      <c r="AQ12" s="5"/>
      <c r="AR12" s="5"/>
      <c r="AS12" s="5"/>
    </row>
    <row r="13" spans="1:46">
      <c r="A13" s="7"/>
      <c r="B13" s="14"/>
      <c r="C13" s="8"/>
      <c r="D13" s="14"/>
      <c r="E13" s="8"/>
      <c r="F13" s="14"/>
      <c r="G13" s="9"/>
      <c r="H13" s="14"/>
      <c r="I13" s="8"/>
      <c r="J13" s="14"/>
      <c r="K13" s="18"/>
      <c r="L13" s="19"/>
      <c r="M13" s="18"/>
      <c r="N13" s="19"/>
      <c r="O13" s="18"/>
      <c r="P13" s="19"/>
      <c r="Q13" s="18"/>
      <c r="R13" s="19"/>
      <c r="S13" s="18"/>
      <c r="T13" s="19"/>
      <c r="U13" s="18"/>
      <c r="V13" s="19"/>
      <c r="W13" s="18"/>
      <c r="X13" s="19"/>
      <c r="Y13" s="18"/>
      <c r="Z13" s="19"/>
      <c r="AA13" s="18"/>
      <c r="AB13" s="19"/>
      <c r="AC13" s="18"/>
      <c r="AD13" s="19"/>
      <c r="AE13" s="18"/>
      <c r="AF13" s="19"/>
      <c r="AG13" s="18"/>
      <c r="AH13" s="19"/>
      <c r="AI13" s="18"/>
      <c r="AJ13" s="19"/>
      <c r="AK13" s="5"/>
      <c r="AL13" s="5"/>
      <c r="AM13" s="5"/>
      <c r="AN13" s="5"/>
      <c r="AO13" s="5"/>
      <c r="AP13" s="5"/>
      <c r="AQ13" s="5"/>
      <c r="AR13" s="5"/>
      <c r="AS13" s="5"/>
    </row>
    <row r="14" spans="1:46">
      <c r="A14" s="7"/>
      <c r="B14" s="14"/>
      <c r="C14" s="8"/>
      <c r="D14" s="14"/>
      <c r="E14" s="8"/>
      <c r="F14" s="14"/>
      <c r="G14" s="9"/>
      <c r="H14" s="14"/>
      <c r="I14" s="8"/>
      <c r="J14" s="14"/>
      <c r="K14" s="18"/>
      <c r="L14" s="19"/>
      <c r="M14" s="18"/>
      <c r="N14" s="19"/>
      <c r="O14" s="18"/>
      <c r="P14" s="19"/>
      <c r="Q14" s="18"/>
      <c r="R14" s="19"/>
      <c r="S14" s="18"/>
      <c r="T14" s="19"/>
      <c r="U14" s="18"/>
      <c r="V14" s="19"/>
      <c r="W14" s="18"/>
      <c r="X14" s="19"/>
      <c r="Y14" s="18"/>
      <c r="Z14" s="19"/>
      <c r="AA14" s="18"/>
      <c r="AB14" s="19"/>
      <c r="AC14" s="18"/>
      <c r="AD14" s="19"/>
      <c r="AE14" s="18"/>
      <c r="AF14" s="19"/>
      <c r="AG14" s="18"/>
      <c r="AH14" s="19"/>
      <c r="AI14" s="18"/>
      <c r="AJ14" s="19"/>
      <c r="AK14" s="5"/>
      <c r="AL14" s="5"/>
      <c r="AM14" s="5"/>
      <c r="AN14" s="5"/>
      <c r="AO14" s="5"/>
      <c r="AP14" s="5"/>
      <c r="AQ14" s="5"/>
      <c r="AR14" s="5"/>
      <c r="AS14" s="5"/>
    </row>
    <row r="15" spans="1:46">
      <c r="A15" s="7"/>
      <c r="B15" s="14"/>
      <c r="C15" s="8"/>
      <c r="D15" s="14"/>
      <c r="E15" s="8"/>
      <c r="F15" s="14"/>
      <c r="G15" s="9"/>
      <c r="H15" s="14"/>
      <c r="I15" s="8"/>
      <c r="J15" s="14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5"/>
      <c r="AL15" s="5"/>
      <c r="AM15" s="5"/>
      <c r="AN15" s="5"/>
      <c r="AO15" s="5"/>
      <c r="AP15" s="5"/>
      <c r="AQ15" s="5"/>
      <c r="AR15" s="5"/>
      <c r="AS15" s="5"/>
    </row>
    <row r="16" spans="1:46">
      <c r="A16" s="7"/>
      <c r="B16" s="14"/>
      <c r="C16" s="8"/>
      <c r="D16" s="14"/>
      <c r="E16" s="8"/>
      <c r="F16" s="14"/>
      <c r="G16" s="9"/>
      <c r="H16" s="14"/>
      <c r="I16" s="8"/>
      <c r="J16" s="14"/>
      <c r="K16" s="18"/>
      <c r="L16" s="19"/>
      <c r="M16" s="18"/>
      <c r="N16" s="19"/>
      <c r="O16" s="18"/>
      <c r="P16" s="19"/>
      <c r="Q16" s="18"/>
      <c r="R16" s="19"/>
      <c r="S16" s="18"/>
      <c r="T16" s="19"/>
      <c r="U16" s="18"/>
      <c r="V16" s="19"/>
      <c r="W16" s="18"/>
      <c r="X16" s="19"/>
      <c r="Y16" s="18"/>
      <c r="Z16" s="19"/>
      <c r="AA16" s="18"/>
      <c r="AB16" s="19"/>
      <c r="AC16" s="18"/>
      <c r="AD16" s="19"/>
      <c r="AE16" s="18"/>
      <c r="AF16" s="19"/>
      <c r="AG16" s="18"/>
      <c r="AH16" s="19"/>
      <c r="AI16" s="18"/>
      <c r="AJ16" s="19"/>
      <c r="AK16" s="5"/>
      <c r="AL16" s="5"/>
      <c r="AM16" s="5"/>
      <c r="AN16" s="5"/>
      <c r="AO16" s="5"/>
      <c r="AP16" s="5"/>
      <c r="AQ16" s="5"/>
      <c r="AR16" s="5"/>
      <c r="AS16" s="5"/>
    </row>
    <row r="17" spans="1:45">
      <c r="A17" s="7"/>
      <c r="B17" s="14"/>
      <c r="C17" s="8"/>
      <c r="D17" s="14"/>
      <c r="E17" s="8"/>
      <c r="F17" s="14"/>
      <c r="G17" s="9"/>
      <c r="H17" s="14"/>
      <c r="I17" s="8"/>
      <c r="J17" s="14"/>
      <c r="K17" s="18"/>
      <c r="L17" s="19"/>
      <c r="M17" s="18"/>
      <c r="N17" s="19"/>
      <c r="O17" s="18"/>
      <c r="P17" s="19"/>
      <c r="Q17" s="18"/>
      <c r="R17" s="19"/>
      <c r="S17" s="18"/>
      <c r="T17" s="19"/>
      <c r="U17" s="18"/>
      <c r="V17" s="19"/>
      <c r="W17" s="18"/>
      <c r="X17" s="19"/>
      <c r="Y17" s="18"/>
      <c r="Z17" s="19"/>
      <c r="AA17" s="18"/>
      <c r="AB17" s="19"/>
      <c r="AC17" s="18"/>
      <c r="AD17" s="19"/>
      <c r="AE17" s="18"/>
      <c r="AF17" s="19"/>
      <c r="AG17" s="18"/>
      <c r="AH17" s="19"/>
      <c r="AI17" s="18"/>
      <c r="AJ17" s="19"/>
      <c r="AK17" s="5"/>
      <c r="AL17" s="5"/>
      <c r="AM17" s="5"/>
      <c r="AN17" s="5"/>
      <c r="AO17" s="5"/>
      <c r="AP17" s="5"/>
      <c r="AQ17" s="5"/>
      <c r="AR17" s="5"/>
      <c r="AS17" s="5"/>
    </row>
    <row r="18" spans="1:45">
      <c r="A18" s="7"/>
      <c r="B18" s="14"/>
      <c r="C18" s="8"/>
      <c r="D18" s="14"/>
      <c r="E18" s="8"/>
      <c r="F18" s="14"/>
      <c r="G18" s="9"/>
      <c r="H18" s="14"/>
      <c r="I18" s="8"/>
      <c r="J18" s="14"/>
      <c r="K18" s="18"/>
      <c r="L18" s="19"/>
      <c r="M18" s="18"/>
      <c r="N18" s="19"/>
      <c r="O18" s="18"/>
      <c r="P18" s="19"/>
      <c r="Q18" s="18"/>
      <c r="R18" s="19"/>
      <c r="S18" s="18"/>
      <c r="T18" s="19"/>
      <c r="U18" s="18"/>
      <c r="V18" s="19"/>
      <c r="W18" s="18"/>
      <c r="X18" s="19"/>
      <c r="Y18" s="18"/>
      <c r="Z18" s="19"/>
      <c r="AA18" s="18"/>
      <c r="AB18" s="19"/>
      <c r="AC18" s="18"/>
      <c r="AD18" s="19"/>
      <c r="AE18" s="18"/>
      <c r="AF18" s="19"/>
      <c r="AG18" s="18"/>
      <c r="AH18" s="19"/>
      <c r="AI18" s="18"/>
      <c r="AJ18" s="19"/>
      <c r="AK18" s="5"/>
      <c r="AL18" s="5"/>
      <c r="AM18" s="5"/>
      <c r="AN18" s="5"/>
      <c r="AO18" s="5"/>
      <c r="AP18" s="5"/>
      <c r="AQ18" s="5"/>
      <c r="AR18" s="5"/>
      <c r="AS18" s="5"/>
    </row>
    <row r="19" spans="1:45">
      <c r="A19" s="7"/>
      <c r="B19" s="14"/>
      <c r="C19" s="8"/>
      <c r="D19" s="14"/>
      <c r="E19" s="8"/>
      <c r="F19" s="14"/>
      <c r="G19" s="9"/>
      <c r="H19" s="14"/>
      <c r="I19" s="8"/>
      <c r="J19" s="14"/>
      <c r="K19" s="18"/>
      <c r="L19" s="19"/>
      <c r="M19" s="18"/>
      <c r="N19" s="19"/>
      <c r="O19" s="18"/>
      <c r="P19" s="19"/>
      <c r="Q19" s="18"/>
      <c r="R19" s="19"/>
      <c r="S19" s="18"/>
      <c r="T19" s="19"/>
      <c r="U19" s="18"/>
      <c r="V19" s="19"/>
      <c r="W19" s="18"/>
      <c r="X19" s="19"/>
      <c r="Y19" s="18"/>
      <c r="Z19" s="19"/>
      <c r="AA19" s="18"/>
      <c r="AB19" s="19"/>
      <c r="AC19" s="18"/>
      <c r="AD19" s="19"/>
      <c r="AE19" s="18"/>
      <c r="AF19" s="19"/>
      <c r="AG19" s="18"/>
      <c r="AH19" s="19"/>
      <c r="AI19" s="18"/>
      <c r="AJ19" s="19"/>
      <c r="AK19" s="5"/>
      <c r="AL19" s="5"/>
      <c r="AM19" s="5"/>
      <c r="AN19" s="5"/>
      <c r="AO19" s="5"/>
      <c r="AP19" s="5"/>
      <c r="AQ19" s="5"/>
      <c r="AR19" s="5"/>
      <c r="AS19" s="5"/>
    </row>
    <row r="20" spans="1:45">
      <c r="A20" s="7"/>
      <c r="B20" s="14"/>
      <c r="C20" s="8"/>
      <c r="D20" s="14"/>
      <c r="E20" s="8"/>
      <c r="F20" s="14"/>
      <c r="G20" s="9"/>
      <c r="H20" s="14"/>
      <c r="I20" s="8"/>
      <c r="J20" s="14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5"/>
      <c r="AL20" s="5"/>
      <c r="AM20" s="5"/>
      <c r="AN20" s="5"/>
      <c r="AO20" s="5"/>
      <c r="AP20" s="5"/>
      <c r="AQ20" s="5"/>
      <c r="AR20" s="5"/>
      <c r="AS20" s="5"/>
    </row>
    <row r="21" spans="1:45">
      <c r="A21" s="7"/>
      <c r="B21" s="14"/>
      <c r="C21" s="8"/>
      <c r="D21" s="14"/>
      <c r="E21" s="8"/>
      <c r="F21" s="14"/>
      <c r="G21" s="9"/>
      <c r="H21" s="14"/>
      <c r="I21" s="8"/>
      <c r="J21" s="14"/>
      <c r="K21" s="18"/>
      <c r="L21" s="19"/>
      <c r="M21" s="18"/>
      <c r="N21" s="19"/>
      <c r="O21" s="18"/>
      <c r="P21" s="19"/>
      <c r="Q21" s="18"/>
      <c r="R21" s="19"/>
      <c r="S21" s="18"/>
      <c r="T21" s="19"/>
      <c r="U21" s="18"/>
      <c r="V21" s="19"/>
      <c r="W21" s="18"/>
      <c r="X21" s="19"/>
      <c r="Y21" s="18"/>
      <c r="Z21" s="19"/>
      <c r="AA21" s="18"/>
      <c r="AB21" s="19"/>
      <c r="AC21" s="18"/>
      <c r="AD21" s="19"/>
      <c r="AE21" s="18"/>
      <c r="AF21" s="19"/>
      <c r="AG21" s="18"/>
      <c r="AH21" s="19"/>
      <c r="AI21" s="18"/>
      <c r="AJ21" s="19"/>
      <c r="AK21" s="5"/>
      <c r="AL21" s="5"/>
      <c r="AM21" s="5"/>
      <c r="AN21" s="5"/>
      <c r="AO21" s="5"/>
      <c r="AP21" s="5"/>
      <c r="AQ21" s="5"/>
      <c r="AR21" s="5"/>
      <c r="AS21" s="5"/>
    </row>
    <row r="22" spans="1:45">
      <c r="A22" s="7"/>
      <c r="B22" s="14"/>
      <c r="C22" s="8"/>
      <c r="D22" s="14"/>
      <c r="E22" s="8"/>
      <c r="F22" s="14"/>
      <c r="G22" s="9"/>
      <c r="H22" s="14"/>
      <c r="I22" s="8"/>
      <c r="J22" s="14"/>
      <c r="K22" s="18"/>
      <c r="L22" s="19"/>
      <c r="M22" s="18"/>
      <c r="N22" s="19"/>
      <c r="O22" s="18"/>
      <c r="P22" s="19"/>
      <c r="Q22" s="18"/>
      <c r="R22" s="19"/>
      <c r="S22" s="18"/>
      <c r="T22" s="19"/>
      <c r="U22" s="18"/>
      <c r="V22" s="19"/>
      <c r="W22" s="18"/>
      <c r="X22" s="19"/>
      <c r="Y22" s="18"/>
      <c r="Z22" s="19"/>
      <c r="AA22" s="18"/>
      <c r="AB22" s="19"/>
      <c r="AC22" s="18"/>
      <c r="AD22" s="19"/>
      <c r="AE22" s="18"/>
      <c r="AF22" s="19"/>
      <c r="AG22" s="18"/>
      <c r="AH22" s="19"/>
      <c r="AI22" s="18"/>
      <c r="AJ22" s="19"/>
      <c r="AK22" s="5"/>
      <c r="AL22" s="5"/>
      <c r="AM22" s="5"/>
      <c r="AN22" s="5"/>
      <c r="AO22" s="5"/>
      <c r="AP22" s="5"/>
      <c r="AQ22" s="5"/>
      <c r="AR22" s="5"/>
      <c r="AS22" s="5"/>
    </row>
    <row r="23" spans="1:45">
      <c r="A23" s="7"/>
      <c r="B23" s="14"/>
      <c r="C23" s="8"/>
      <c r="D23" s="14"/>
      <c r="E23" s="8"/>
      <c r="F23" s="14"/>
      <c r="G23" s="9"/>
      <c r="H23" s="14"/>
      <c r="I23" s="8"/>
      <c r="J23" s="14"/>
      <c r="K23" s="18"/>
      <c r="L23" s="19"/>
      <c r="M23" s="18"/>
      <c r="N23" s="19"/>
      <c r="O23" s="18"/>
      <c r="P23" s="19"/>
      <c r="Q23" s="18"/>
      <c r="R23" s="19"/>
      <c r="S23" s="18"/>
      <c r="T23" s="19"/>
      <c r="U23" s="18"/>
      <c r="V23" s="19"/>
      <c r="W23" s="18"/>
      <c r="X23" s="19"/>
      <c r="Y23" s="18"/>
      <c r="Z23" s="19"/>
      <c r="AA23" s="18"/>
      <c r="AB23" s="19"/>
      <c r="AC23" s="18"/>
      <c r="AD23" s="19"/>
      <c r="AE23" s="18"/>
      <c r="AF23" s="19"/>
      <c r="AG23" s="18"/>
      <c r="AH23" s="19"/>
      <c r="AI23" s="18"/>
      <c r="AJ23" s="19"/>
      <c r="AK23" s="5"/>
      <c r="AL23" s="5"/>
      <c r="AM23" s="5"/>
      <c r="AN23" s="5"/>
      <c r="AO23" s="5"/>
      <c r="AP23" s="5"/>
      <c r="AQ23" s="5"/>
      <c r="AR23" s="5"/>
      <c r="AS23" s="5"/>
    </row>
    <row r="24" spans="1:45">
      <c r="A24" s="7"/>
      <c r="B24" s="14"/>
      <c r="C24" s="8"/>
      <c r="D24" s="14"/>
      <c r="E24" s="8"/>
      <c r="F24" s="14"/>
      <c r="G24" s="9"/>
      <c r="H24" s="14"/>
      <c r="I24" s="8"/>
      <c r="J24" s="14"/>
      <c r="K24" s="18"/>
      <c r="L24" s="19"/>
      <c r="M24" s="18"/>
      <c r="N24" s="19"/>
      <c r="O24" s="18"/>
      <c r="P24" s="19"/>
      <c r="Q24" s="18"/>
      <c r="R24" s="19"/>
      <c r="S24" s="18"/>
      <c r="T24" s="19"/>
      <c r="U24" s="18"/>
      <c r="V24" s="19"/>
      <c r="W24" s="18"/>
      <c r="X24" s="19"/>
      <c r="Y24" s="18"/>
      <c r="Z24" s="19"/>
      <c r="AA24" s="18"/>
      <c r="AB24" s="19"/>
      <c r="AC24" s="18"/>
      <c r="AD24" s="19"/>
      <c r="AE24" s="18"/>
      <c r="AF24" s="19"/>
      <c r="AG24" s="18"/>
      <c r="AH24" s="19"/>
      <c r="AI24" s="18"/>
      <c r="AJ24" s="19"/>
      <c r="AK24" s="5"/>
      <c r="AL24" s="5"/>
      <c r="AM24" s="5"/>
      <c r="AN24" s="5"/>
      <c r="AO24" s="5"/>
      <c r="AP24" s="5"/>
      <c r="AQ24" s="5"/>
      <c r="AR24" s="5"/>
      <c r="AS24" s="5"/>
    </row>
    <row r="25" spans="1:45">
      <c r="A25" s="7"/>
      <c r="B25" s="14"/>
      <c r="C25" s="8"/>
      <c r="D25" s="14"/>
      <c r="E25" s="8"/>
      <c r="F25" s="14"/>
      <c r="G25" s="9"/>
      <c r="H25" s="14"/>
      <c r="I25" s="8"/>
      <c r="J25" s="14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5"/>
      <c r="AL25" s="5"/>
      <c r="AM25" s="5"/>
      <c r="AN25" s="5"/>
      <c r="AO25" s="5"/>
      <c r="AP25" s="5"/>
      <c r="AQ25" s="5"/>
      <c r="AR25" s="5"/>
      <c r="AS25" s="5"/>
    </row>
    <row r="26" spans="1:45">
      <c r="A26" s="7"/>
      <c r="B26" s="14"/>
      <c r="C26" s="8"/>
      <c r="D26" s="14"/>
      <c r="E26" s="8"/>
      <c r="F26" s="14"/>
      <c r="G26" s="9"/>
      <c r="H26" s="14"/>
      <c r="I26" s="8"/>
      <c r="J26" s="14"/>
      <c r="K26" s="18"/>
      <c r="L26" s="19"/>
      <c r="M26" s="18"/>
      <c r="N26" s="19"/>
      <c r="O26" s="18"/>
      <c r="P26" s="19"/>
      <c r="Q26" s="18"/>
      <c r="R26" s="19"/>
      <c r="S26" s="18"/>
      <c r="T26" s="19"/>
      <c r="U26" s="18"/>
      <c r="V26" s="19"/>
      <c r="W26" s="18"/>
      <c r="X26" s="19"/>
      <c r="Y26" s="18"/>
      <c r="Z26" s="19"/>
      <c r="AA26" s="18"/>
      <c r="AB26" s="19"/>
      <c r="AC26" s="18"/>
      <c r="AD26" s="19"/>
      <c r="AE26" s="18"/>
      <c r="AF26" s="19"/>
      <c r="AG26" s="18"/>
      <c r="AH26" s="19"/>
      <c r="AI26" s="18"/>
      <c r="AJ26" s="19"/>
      <c r="AK26" s="5"/>
      <c r="AL26" s="5"/>
      <c r="AM26" s="5"/>
      <c r="AN26" s="5"/>
      <c r="AO26" s="5"/>
      <c r="AP26" s="5"/>
      <c r="AQ26" s="5"/>
      <c r="AR26" s="5"/>
      <c r="AS26" s="5"/>
    </row>
    <row r="27" spans="1:45">
      <c r="A27" s="7"/>
      <c r="B27" s="14"/>
      <c r="C27" s="8"/>
      <c r="D27" s="14"/>
      <c r="E27" s="8"/>
      <c r="F27" s="14"/>
      <c r="G27" s="9"/>
      <c r="H27" s="14"/>
      <c r="I27" s="8"/>
      <c r="J27" s="14"/>
      <c r="K27" s="18"/>
      <c r="L27" s="19"/>
      <c r="M27" s="18"/>
      <c r="N27" s="19"/>
      <c r="O27" s="18"/>
      <c r="P27" s="19"/>
      <c r="Q27" s="18"/>
      <c r="R27" s="19"/>
      <c r="S27" s="18"/>
      <c r="T27" s="19"/>
      <c r="U27" s="18"/>
      <c r="V27" s="19"/>
      <c r="W27" s="18"/>
      <c r="X27" s="19"/>
      <c r="Y27" s="18"/>
      <c r="Z27" s="19"/>
      <c r="AA27" s="18"/>
      <c r="AB27" s="19"/>
      <c r="AC27" s="18"/>
      <c r="AD27" s="19"/>
      <c r="AE27" s="18"/>
      <c r="AF27" s="19"/>
      <c r="AG27" s="18"/>
      <c r="AH27" s="19"/>
      <c r="AI27" s="18"/>
      <c r="AJ27" s="19"/>
      <c r="AK27" s="5"/>
      <c r="AL27" s="5"/>
      <c r="AM27" s="5"/>
      <c r="AN27" s="5"/>
      <c r="AO27" s="5"/>
      <c r="AP27" s="5"/>
      <c r="AQ27" s="5"/>
      <c r="AR27" s="5"/>
      <c r="AS27" s="5"/>
    </row>
    <row r="28" spans="1:45">
      <c r="A28" s="7"/>
      <c r="B28" s="14"/>
      <c r="C28" s="8"/>
      <c r="D28" s="14"/>
      <c r="E28" s="8"/>
      <c r="F28" s="14"/>
      <c r="G28" s="9"/>
      <c r="H28" s="14"/>
      <c r="I28" s="8"/>
      <c r="J28" s="14"/>
      <c r="K28" s="18"/>
      <c r="L28" s="19"/>
      <c r="M28" s="18"/>
      <c r="N28" s="19"/>
      <c r="O28" s="18"/>
      <c r="P28" s="19"/>
      <c r="Q28" s="18"/>
      <c r="R28" s="19"/>
      <c r="S28" s="18"/>
      <c r="T28" s="19"/>
      <c r="U28" s="18"/>
      <c r="V28" s="19"/>
      <c r="W28" s="18"/>
      <c r="X28" s="19"/>
      <c r="Y28" s="18"/>
      <c r="Z28" s="19"/>
      <c r="AA28" s="18"/>
      <c r="AB28" s="19"/>
      <c r="AC28" s="18"/>
      <c r="AD28" s="19"/>
      <c r="AE28" s="18"/>
      <c r="AF28" s="19"/>
      <c r="AG28" s="18"/>
      <c r="AH28" s="19"/>
      <c r="AI28" s="18"/>
      <c r="AJ28" s="19"/>
      <c r="AK28" s="5"/>
      <c r="AL28" s="5"/>
      <c r="AM28" s="5"/>
      <c r="AN28" s="5"/>
      <c r="AO28" s="5"/>
      <c r="AP28" s="5"/>
      <c r="AQ28" s="5"/>
      <c r="AR28" s="5"/>
      <c r="AS28" s="5"/>
    </row>
    <row r="29" spans="1:45">
      <c r="A29" s="7"/>
      <c r="B29" s="14"/>
      <c r="C29" s="8"/>
      <c r="D29" s="14"/>
      <c r="E29" s="8"/>
      <c r="F29" s="14"/>
      <c r="G29" s="9"/>
      <c r="H29" s="14"/>
      <c r="I29" s="8"/>
      <c r="J29" s="14"/>
      <c r="K29" s="18"/>
      <c r="L29" s="19"/>
      <c r="M29" s="18"/>
      <c r="N29" s="19"/>
      <c r="O29" s="18"/>
      <c r="P29" s="19"/>
      <c r="Q29" s="18"/>
      <c r="R29" s="19"/>
      <c r="S29" s="18"/>
      <c r="T29" s="19"/>
      <c r="U29" s="18"/>
      <c r="V29" s="19"/>
      <c r="W29" s="18"/>
      <c r="X29" s="19"/>
      <c r="Y29" s="18"/>
      <c r="Z29" s="19"/>
      <c r="AA29" s="18"/>
      <c r="AB29" s="19"/>
      <c r="AC29" s="18"/>
      <c r="AD29" s="19"/>
      <c r="AE29" s="18"/>
      <c r="AF29" s="19"/>
      <c r="AG29" s="18"/>
      <c r="AH29" s="19"/>
      <c r="AI29" s="18"/>
      <c r="AJ29" s="19"/>
      <c r="AK29" s="5"/>
      <c r="AL29" s="5"/>
      <c r="AM29" s="5"/>
      <c r="AN29" s="5"/>
      <c r="AO29" s="5"/>
      <c r="AP29" s="5"/>
      <c r="AQ29" s="5"/>
      <c r="AR29" s="5"/>
      <c r="AS29" s="5"/>
    </row>
    <row r="30" spans="1:45">
      <c r="A30" s="7"/>
      <c r="B30" s="14"/>
      <c r="C30" s="8"/>
      <c r="D30" s="14"/>
      <c r="E30" s="8"/>
      <c r="F30" s="14"/>
      <c r="G30" s="9"/>
      <c r="H30" s="14"/>
      <c r="I30" s="8"/>
      <c r="J30" s="14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5"/>
      <c r="AL30" s="5"/>
      <c r="AM30" s="5"/>
      <c r="AN30" s="5"/>
      <c r="AO30" s="5"/>
      <c r="AP30" s="5"/>
      <c r="AQ30" s="5"/>
      <c r="AR30" s="5"/>
      <c r="AS30" s="5"/>
    </row>
    <row r="31" spans="1:45">
      <c r="A31" s="7"/>
      <c r="B31" s="14"/>
      <c r="C31" s="8"/>
      <c r="D31" s="14"/>
      <c r="E31" s="8"/>
      <c r="F31" s="14"/>
      <c r="G31" s="9"/>
      <c r="H31" s="14"/>
      <c r="I31" s="8"/>
      <c r="J31" s="14"/>
      <c r="K31" s="18"/>
      <c r="L31" s="19"/>
      <c r="M31" s="18"/>
      <c r="N31" s="19"/>
      <c r="O31" s="18"/>
      <c r="P31" s="19"/>
      <c r="Q31" s="18"/>
      <c r="R31" s="19"/>
      <c r="S31" s="18"/>
      <c r="T31" s="19"/>
      <c r="U31" s="18"/>
      <c r="V31" s="19"/>
      <c r="W31" s="18"/>
      <c r="X31" s="19"/>
      <c r="Y31" s="18"/>
      <c r="Z31" s="19"/>
      <c r="AA31" s="18"/>
      <c r="AB31" s="19"/>
      <c r="AC31" s="18"/>
      <c r="AD31" s="19"/>
      <c r="AE31" s="18"/>
      <c r="AF31" s="19"/>
      <c r="AG31" s="18"/>
      <c r="AH31" s="19"/>
      <c r="AI31" s="18"/>
      <c r="AJ31" s="19"/>
      <c r="AK31" s="5"/>
      <c r="AL31" s="5"/>
      <c r="AM31" s="5"/>
      <c r="AN31" s="5"/>
      <c r="AO31" s="5"/>
      <c r="AP31" s="5"/>
      <c r="AQ31" s="5"/>
      <c r="AR31" s="5"/>
      <c r="AS31" s="5"/>
    </row>
    <row r="32" spans="1:45">
      <c r="A32" s="7"/>
      <c r="B32" s="14"/>
      <c r="C32" s="8"/>
      <c r="D32" s="14"/>
      <c r="E32" s="8"/>
      <c r="F32" s="14"/>
      <c r="G32" s="9"/>
      <c r="H32" s="14"/>
      <c r="I32" s="8"/>
      <c r="J32" s="14"/>
      <c r="K32" s="18"/>
      <c r="L32" s="19"/>
      <c r="M32" s="18"/>
      <c r="N32" s="19"/>
      <c r="O32" s="18"/>
      <c r="P32" s="19"/>
      <c r="Q32" s="18"/>
      <c r="R32" s="19"/>
      <c r="S32" s="18"/>
      <c r="T32" s="19"/>
      <c r="U32" s="18"/>
      <c r="V32" s="19"/>
      <c r="W32" s="18"/>
      <c r="X32" s="19"/>
      <c r="Y32" s="18"/>
      <c r="Z32" s="19"/>
      <c r="AA32" s="18"/>
      <c r="AB32" s="19"/>
      <c r="AC32" s="18"/>
      <c r="AD32" s="19"/>
      <c r="AE32" s="18"/>
      <c r="AF32" s="19"/>
      <c r="AG32" s="18"/>
      <c r="AH32" s="19"/>
      <c r="AI32" s="18"/>
      <c r="AJ32" s="19"/>
      <c r="AK32" s="5"/>
      <c r="AL32" s="5"/>
      <c r="AM32" s="5"/>
      <c r="AN32" s="5"/>
      <c r="AO32" s="5"/>
      <c r="AP32" s="5"/>
      <c r="AQ32" s="5"/>
      <c r="AR32" s="5"/>
      <c r="AS32" s="5"/>
    </row>
    <row r="33" spans="1:46">
      <c r="A33" s="7"/>
      <c r="B33" s="14"/>
      <c r="C33" s="8"/>
      <c r="D33" s="14"/>
      <c r="E33" s="8"/>
      <c r="F33" s="14"/>
      <c r="G33" s="9"/>
      <c r="H33" s="14"/>
      <c r="I33" s="8"/>
      <c r="J33" s="14"/>
      <c r="K33" s="18"/>
      <c r="L33" s="19"/>
      <c r="M33" s="18"/>
      <c r="N33" s="19"/>
      <c r="O33" s="18"/>
      <c r="P33" s="19"/>
      <c r="Q33" s="18"/>
      <c r="R33" s="19"/>
      <c r="S33" s="18"/>
      <c r="T33" s="19"/>
      <c r="U33" s="18"/>
      <c r="V33" s="19"/>
      <c r="W33" s="18"/>
      <c r="X33" s="19"/>
      <c r="Y33" s="18"/>
      <c r="Z33" s="19"/>
      <c r="AA33" s="18"/>
      <c r="AB33" s="19"/>
      <c r="AC33" s="18"/>
      <c r="AD33" s="19"/>
      <c r="AE33" s="18"/>
      <c r="AF33" s="19"/>
      <c r="AG33" s="18"/>
      <c r="AH33" s="19"/>
      <c r="AI33" s="18"/>
      <c r="AJ33" s="19"/>
      <c r="AK33" s="5"/>
      <c r="AL33" s="5"/>
      <c r="AM33" s="5"/>
      <c r="AN33" s="5"/>
      <c r="AO33" s="5"/>
      <c r="AP33" s="5"/>
      <c r="AQ33" s="5"/>
      <c r="AR33" s="5"/>
      <c r="AS33" s="5"/>
    </row>
    <row r="34" spans="1:46">
      <c r="A34" s="7"/>
      <c r="B34" s="14"/>
      <c r="C34" s="8"/>
      <c r="D34" s="14"/>
      <c r="E34" s="8"/>
      <c r="F34" s="14"/>
      <c r="G34" s="9"/>
      <c r="H34" s="14"/>
      <c r="I34" s="8"/>
      <c r="J34" s="14"/>
      <c r="K34" s="18"/>
      <c r="L34" s="19"/>
      <c r="M34" s="18"/>
      <c r="N34" s="19"/>
      <c r="O34" s="18"/>
      <c r="P34" s="19"/>
      <c r="Q34" s="18"/>
      <c r="R34" s="19"/>
      <c r="S34" s="18"/>
      <c r="T34" s="19"/>
      <c r="U34" s="18"/>
      <c r="V34" s="19"/>
      <c r="W34" s="18"/>
      <c r="X34" s="19"/>
      <c r="Y34" s="18"/>
      <c r="Z34" s="19"/>
      <c r="AA34" s="18"/>
      <c r="AB34" s="19"/>
      <c r="AC34" s="18"/>
      <c r="AD34" s="19"/>
      <c r="AE34" s="18"/>
      <c r="AF34" s="19"/>
      <c r="AG34" s="18"/>
      <c r="AH34" s="19"/>
      <c r="AI34" s="18"/>
      <c r="AJ34" s="19"/>
      <c r="AK34" s="5"/>
      <c r="AL34" s="5"/>
      <c r="AM34" s="5"/>
      <c r="AN34" s="5"/>
      <c r="AO34" s="5"/>
      <c r="AP34" s="5"/>
      <c r="AQ34" s="5"/>
      <c r="AR34" s="5"/>
      <c r="AS34" s="5"/>
    </row>
    <row r="35" spans="1:46">
      <c r="A35" s="10"/>
      <c r="B35" s="15"/>
      <c r="C35" s="11"/>
      <c r="D35" s="15"/>
      <c r="E35" s="11"/>
      <c r="F35" s="15"/>
      <c r="G35" s="12"/>
      <c r="H35" s="15"/>
      <c r="I35" s="11"/>
      <c r="J35" s="15"/>
      <c r="K35" s="20"/>
      <c r="L35" s="21"/>
      <c r="M35" s="20"/>
      <c r="N35" s="21"/>
      <c r="O35" s="20"/>
      <c r="P35" s="21"/>
      <c r="Q35" s="20"/>
      <c r="R35" s="21"/>
      <c r="S35" s="20"/>
      <c r="T35" s="21"/>
      <c r="U35" s="20"/>
      <c r="V35" s="21"/>
      <c r="W35" s="20"/>
      <c r="X35" s="21"/>
      <c r="Y35" s="20"/>
      <c r="Z35" s="21"/>
      <c r="AA35" s="20"/>
      <c r="AB35" s="21"/>
      <c r="AC35" s="20"/>
      <c r="AD35" s="21"/>
      <c r="AE35" s="20"/>
      <c r="AF35" s="21"/>
      <c r="AG35" s="20"/>
      <c r="AH35" s="21"/>
      <c r="AI35" s="20"/>
      <c r="AJ35" s="21"/>
      <c r="AK35" s="5"/>
      <c r="AL35" s="5"/>
      <c r="AM35" s="5"/>
      <c r="AN35" s="5"/>
      <c r="AO35" s="5"/>
      <c r="AP35" s="5"/>
      <c r="AQ35" s="5"/>
      <c r="AR35" s="5"/>
      <c r="AS35" s="5"/>
    </row>
    <row r="36" spans="1:46" s="26" customFormat="1">
      <c r="A36" s="22"/>
      <c r="B36" s="22"/>
      <c r="C36" s="22"/>
      <c r="D36" s="22"/>
      <c r="E36" s="22"/>
      <c r="F36" s="22"/>
      <c r="G36" s="23"/>
      <c r="H36" s="22"/>
      <c r="I36" s="22"/>
      <c r="J36" s="22"/>
      <c r="K36" s="24">
        <f>SUM(K11:K35)</f>
        <v>50</v>
      </c>
      <c r="L36" s="24"/>
      <c r="M36" s="24"/>
      <c r="N36" s="24">
        <f>SUM(N11:N35)</f>
        <v>975</v>
      </c>
      <c r="O36" s="24">
        <f>SUM(O11:O35)</f>
        <v>0</v>
      </c>
      <c r="P36" s="24"/>
      <c r="Q36" s="24">
        <f>SUM(Q11:Q35)</f>
        <v>0</v>
      </c>
      <c r="R36" s="24">
        <f>SUM(R11:R35)</f>
        <v>0</v>
      </c>
      <c r="S36" s="24"/>
      <c r="T36" s="24"/>
      <c r="U36" s="24">
        <f>SUM(U11:U35)</f>
        <v>0</v>
      </c>
      <c r="V36" s="24">
        <f>SUM(V11:V35)</f>
        <v>0</v>
      </c>
      <c r="W36" s="24">
        <f>SUM(W11:W35)</f>
        <v>0</v>
      </c>
      <c r="X36" s="24">
        <f>SUM(X11:X35)</f>
        <v>0</v>
      </c>
      <c r="Y36" s="24">
        <f>SUM(Y11:Y35)</f>
        <v>0</v>
      </c>
      <c r="Z36" s="24"/>
      <c r="AA36" s="24">
        <f>SUM(AA11:AA35)</f>
        <v>0</v>
      </c>
      <c r="AB36" s="24">
        <f t="shared" ref="AB36:AE36" si="0">SUM(AB11:AB35)</f>
        <v>0</v>
      </c>
      <c r="AC36" s="24">
        <f t="shared" si="0"/>
        <v>0</v>
      </c>
      <c r="AD36" s="24">
        <f t="shared" si="0"/>
        <v>0</v>
      </c>
      <c r="AE36" s="24">
        <f t="shared" si="0"/>
        <v>0</v>
      </c>
      <c r="AF36" s="24"/>
      <c r="AG36" s="24"/>
      <c r="AH36" s="24"/>
      <c r="AI36" s="24"/>
      <c r="AJ36" s="24"/>
      <c r="AK36" s="25">
        <f>SUM(AK11:AK35)</f>
        <v>0</v>
      </c>
      <c r="AL36" s="25">
        <f t="shared" ref="AL36:AO36" si="1">SUM(AL11:AL35)</f>
        <v>0</v>
      </c>
      <c r="AM36" s="25">
        <f t="shared" si="1"/>
        <v>0</v>
      </c>
      <c r="AN36" s="25">
        <f t="shared" si="1"/>
        <v>0</v>
      </c>
      <c r="AO36" s="25">
        <f t="shared" si="1"/>
        <v>0</v>
      </c>
      <c r="AP36" s="25">
        <f>SUM(AP11:AP35)</f>
        <v>1</v>
      </c>
      <c r="AQ36" s="25"/>
      <c r="AR36" s="25">
        <f>SUM(AR11:AR35)</f>
        <v>30</v>
      </c>
      <c r="AS36" s="25">
        <f>SUM(AS11:AS35)</f>
        <v>0</v>
      </c>
      <c r="AT36" s="25">
        <f>SUM(AT11:AT35)</f>
        <v>0</v>
      </c>
    </row>
    <row r="37" spans="1:46">
      <c r="A37" s="5"/>
      <c r="B37" s="5"/>
      <c r="C37" s="5"/>
      <c r="D37" s="5"/>
      <c r="E37" s="5"/>
      <c r="F37" s="5"/>
      <c r="G37" s="6"/>
      <c r="H37" s="41" t="s">
        <v>49</v>
      </c>
      <c r="I37" s="42"/>
      <c r="J37" s="42"/>
      <c r="K37" s="34">
        <f>+flag_pro</f>
        <v>1</v>
      </c>
      <c r="L37" s="30"/>
      <c r="M37" s="30"/>
      <c r="N37" s="31"/>
      <c r="O37" s="32"/>
      <c r="P37" s="27">
        <f>total_veta+total_dilusion</f>
        <v>0</v>
      </c>
      <c r="Q37" s="27">
        <f>IF(AK36 &gt; 0, (Q36*AK36*AL36)/AK36,AL36)</f>
        <v>0</v>
      </c>
      <c r="R37" s="28">
        <f>IF(area &gt; 0,(R36*area*rotas)/area,0)</f>
        <v>0</v>
      </c>
      <c r="S37" s="30"/>
      <c r="T37" s="30"/>
      <c r="U37" s="29">
        <f>+prg_loncor*rotas</f>
        <v>0</v>
      </c>
      <c r="V37" s="29">
        <f>IF(area &gt; 0,prg_altcor * area  / area,0)</f>
        <v>0</v>
      </c>
      <c r="W37" s="29">
        <f>prg_tmsrotvet*rotas</f>
        <v>0</v>
      </c>
      <c r="X37" s="29">
        <f xml:space="preserve"> prg_tmsrotdil *  rotas</f>
        <v>0</v>
      </c>
      <c r="Y37" s="29">
        <f>prg_tmsextraid</f>
        <v>0</v>
      </c>
      <c r="Z37" s="33"/>
      <c r="AA37" s="29">
        <f>IF(prg_tmsextraid&gt; 0,prg_leyag * prg_tmsextraid / prg_tmsextraid,0)</f>
        <v>0</v>
      </c>
      <c r="AB37" s="29">
        <f>IF(prg_tmsextraid&gt;0,prg_leycu * prg_tmsextraid / prg_tmsextraid,0)</f>
        <v>0</v>
      </c>
      <c r="AC37" s="29">
        <f>IF( prg_tmsextraid&gt;0,prg_leypb *  prg_tmsextraid/ prg_tmsextraid,0)</f>
        <v>0</v>
      </c>
      <c r="AD37" s="29">
        <f>IF(prg_tmsextraid&gt;0,prg_leyzn *  prg_tmsextraid / prg_tmsextraid,0)</f>
        <v>0</v>
      </c>
      <c r="AE37" s="29">
        <f>IF(prg_tmsextraid &gt;0,prg_vptdil *  prg_tmsextraid /  prg_tmsextraid,0)</f>
        <v>0</v>
      </c>
      <c r="AF37" s="5"/>
      <c r="AG37" s="5"/>
      <c r="AH37" s="5"/>
      <c r="AI37" s="5"/>
      <c r="AJ37" s="5"/>
    </row>
    <row r="38" spans="1:46">
      <c r="A38" s="5"/>
      <c r="B38" s="5"/>
      <c r="C38" s="5"/>
      <c r="D38" s="5"/>
      <c r="E38" s="5"/>
      <c r="F38" s="5"/>
      <c r="G38" s="6"/>
      <c r="H38" s="41" t="s">
        <v>50</v>
      </c>
      <c r="I38" s="42"/>
      <c r="J38" s="42"/>
      <c r="K38" s="34">
        <f>+AS36</f>
        <v>0</v>
      </c>
      <c r="L38" s="30"/>
      <c r="M38" s="30"/>
      <c r="N38" s="31"/>
      <c r="O38" s="32"/>
      <c r="P38" s="27">
        <f xml:space="preserve"> total_veta_econo +  total_dilucion_econo</f>
        <v>0</v>
      </c>
      <c r="Q38" s="27">
        <f>(Q36*AK36*AL36*AM36)/IF((AK36*AL36*AM36)=0,1,(AK36*AL36*AM36))</f>
        <v>0</v>
      </c>
      <c r="R38" s="28">
        <f>(R36*area*rotas*economicos)/IF(area*rotas*economicos = 0,1,area*rotas*economicos)</f>
        <v>0</v>
      </c>
      <c r="S38" s="30"/>
      <c r="T38" s="30"/>
      <c r="U38" s="29">
        <f>prg_loncor *  rotas * economicos</f>
        <v>0</v>
      </c>
      <c r="V38" s="29">
        <f>IF(area&gt;0,prg_altcor*area*economicos/area,0)</f>
        <v>0</v>
      </c>
      <c r="W38" s="29">
        <f>prg_tmsrotvet *  rotas *  economicos</f>
        <v>0</v>
      </c>
      <c r="X38" s="29">
        <f>prg_tmsrotdil *  rotas *  economicos</f>
        <v>0</v>
      </c>
      <c r="Y38" s="29">
        <f>prg_tmsextraid * economicos</f>
        <v>0</v>
      </c>
      <c r="Z38" s="33"/>
      <c r="AA38" s="29">
        <f>IF(prg_tmsextraid *   economicos * extraido &gt; 0, (prg_leyag   *  prg_tmsextraid *   economicos * extraido) /  (prg_tmsextraid *   economicos * extraido),0)</f>
        <v>0</v>
      </c>
      <c r="AB38" s="29">
        <f>IF(prg_tmsextraid *   economicos * extraido &gt;0,prg_leycu   *  prg_tmsextraid *   economicos * extraido  / prg_tmsextraid *   economicos * extraido,0)</f>
        <v>0</v>
      </c>
      <c r="AC38" s="29">
        <f>IF(prg_tmsextraid *   economicos * extraido&gt;0, prg_leypb   *  prg_tmsextraid *   economicos * extraido  / prg_tmsextraid *   economicos * extraido,0)</f>
        <v>0</v>
      </c>
      <c r="AD38" s="29">
        <f>IF( prg_tmsextraid *   economicos * extraido&gt;0,prg_leyzn   *  prg_tmsextraid *   economicos * extraido  / prg_tmsextraid *   economicos * extraido,0)</f>
        <v>0</v>
      </c>
      <c r="AE38" s="29">
        <f>IF(prg_tmsextraid *   economicos * extraido&gt;0,prg_vptdil *  prg_tmsextraid *   economicos * extraido / prg_tmsextraid *   economicos * extraido,0)</f>
        <v>0</v>
      </c>
      <c r="AF38" s="5"/>
      <c r="AG38" s="5"/>
      <c r="AH38" s="5"/>
      <c r="AI38" s="5"/>
      <c r="AJ38" s="5"/>
    </row>
    <row r="39" spans="1:46">
      <c r="A39" s="5"/>
      <c r="B39" s="5"/>
      <c r="C39" s="5"/>
      <c r="D39" s="5"/>
      <c r="E39" s="5"/>
      <c r="F39" s="5"/>
      <c r="G39" s="6"/>
      <c r="H39" s="41" t="s">
        <v>51</v>
      </c>
      <c r="I39" s="42"/>
      <c r="J39" s="42"/>
      <c r="K39" s="34">
        <f>+AT36</f>
        <v>0</v>
      </c>
      <c r="L39" s="30"/>
      <c r="M39" s="30"/>
      <c r="N39" s="31"/>
      <c r="O39" s="32"/>
      <c r="P39" s="27">
        <f xml:space="preserve"> total_veta_noecono +  total_dilucion_noecono</f>
        <v>0</v>
      </c>
      <c r="Q39" s="27">
        <f>(Q36*AK36*AL36*AM36)/IF((AK36*AL36*AM36)=0,1,(AK36*AL36*AM36))</f>
        <v>0</v>
      </c>
      <c r="R39" s="28">
        <f>(R36*area*rotas*noeconomicos)/IF(area*rotas*noeconomicos = 0,1,area*rotas*noeconomicos)</f>
        <v>0</v>
      </c>
      <c r="S39" s="30"/>
      <c r="T39" s="30"/>
      <c r="U39" s="29">
        <f>prg_loncor *  rotas * noeconomicos</f>
        <v>0</v>
      </c>
      <c r="V39" s="29">
        <f>IF(area &gt; 0, (prg_altcor * area * noeconomicos) / area,0)</f>
        <v>0</v>
      </c>
      <c r="W39" s="29">
        <f>prg_tmsrotvet *  rotas *  noeconomicos</f>
        <v>0</v>
      </c>
      <c r="X39" s="29">
        <f>prg_tmsrotdil *  rotas *  noeconomicos</f>
        <v>0</v>
      </c>
      <c r="Y39" s="29">
        <f>prg_tmsextraid * noeconomicos</f>
        <v>0</v>
      </c>
      <c r="Z39" s="33"/>
      <c r="AA39" s="29">
        <f>IF(prg_tmsextraid *   noeconomicos * extraido &gt; 0, (prg_leyag   *  prg_tmsextraid *   noeconomicos * extraido) /  (prg_tmsextraid *   noeconomicos * extraido),0)</f>
        <v>0</v>
      </c>
      <c r="AB39" s="29">
        <f>IF(prg_tmsextraid *   noeconomicos * extraido &gt;0,prg_leycu   *  prg_tmsextraid *   noeconomicos * extraido  / prg_tmsextraid *   noeconomicos * extraido,0)</f>
        <v>0</v>
      </c>
      <c r="AC39" s="29">
        <f>IF(prg_tmsextraid *  noeconomicos * extraido&gt;0, prg_leypb   *  prg_tmsextraid *   noeconomicos * extraido  / prg_tmsextraid *   noeconomicos * extraido,0)</f>
        <v>0</v>
      </c>
      <c r="AD39" s="29">
        <f>IF( prg_tmsextraid *   noeconomicos * extraido&gt;0,prg_leyzn   *  prg_tmsextraid *   noeconomicos * extraido  / prg_tmsextraid *   noeconomicos * extraido,0)</f>
        <v>0</v>
      </c>
      <c r="AE39" s="29">
        <f>IF(prg_tmsextraid *   noeconomicos * extraido&gt;0,prg_vptdil *  prg_tmsextraid *   noeconomicos * extraido / prg_tmsextraid *   noeconomicos * extraido,0)</f>
        <v>0</v>
      </c>
      <c r="AF39" s="5"/>
      <c r="AG39" s="5"/>
      <c r="AH39" s="5"/>
      <c r="AI39" s="5"/>
      <c r="AJ39" s="5"/>
    </row>
    <row r="40" spans="1:46">
      <c r="A40" s="5"/>
      <c r="B40" s="5"/>
      <c r="C40" s="5"/>
      <c r="D40" s="5"/>
      <c r="E40" s="5"/>
      <c r="F40" s="5"/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46">
      <c r="A41" s="5"/>
      <c r="B41" s="5"/>
      <c r="C41" s="5"/>
      <c r="D41" s="5"/>
      <c r="E41" s="5"/>
      <c r="F41" s="5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46">
      <c r="A42" s="5"/>
      <c r="B42" s="5"/>
      <c r="C42" s="5"/>
      <c r="D42" s="5"/>
      <c r="E42" s="5"/>
      <c r="F42" s="5"/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</sheetData>
  <mergeCells count="3">
    <mergeCell ref="H37:J37"/>
    <mergeCell ref="H38:J38"/>
    <mergeCell ref="H39:J39"/>
  </mergeCells>
  <pageMargins left="0.70866141732283472" right="0.70866141732283472" top="0.74803149606299213" bottom="0.74803149606299213" header="0.31496062992125984" footer="0.31496062992125984"/>
  <pageSetup paperSize="9" scale="37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39</vt:i4>
      </vt:variant>
    </vt:vector>
  </HeadingPairs>
  <TitlesOfParts>
    <vt:vector size="42" baseType="lpstr">
      <vt:lpstr>Hoja1</vt:lpstr>
      <vt:lpstr>Hoja2</vt:lpstr>
      <vt:lpstr>Hoja3</vt:lpstr>
      <vt:lpstr>area</vt:lpstr>
      <vt:lpstr>Hoja1!Área_de_impresión</vt:lpstr>
      <vt:lpstr>economicos</vt:lpstr>
      <vt:lpstr>extraido</vt:lpstr>
      <vt:lpstr>flag_pro</vt:lpstr>
      <vt:lpstr>noeconomicos</vt:lpstr>
      <vt:lpstr>prg_altcor</vt:lpstr>
      <vt:lpstr>prg_leyag</vt:lpstr>
      <vt:lpstr>prg_leycu</vt:lpstr>
      <vt:lpstr>prg_leypb</vt:lpstr>
      <vt:lpstr>prg_leyzn</vt:lpstr>
      <vt:lpstr>prg_loncor</vt:lpstr>
      <vt:lpstr>prg_tmsextraid</vt:lpstr>
      <vt:lpstr>prg_tmsrotdil</vt:lpstr>
      <vt:lpstr>prg_tmsrotvet</vt:lpstr>
      <vt:lpstr>prg_vptdil</vt:lpstr>
      <vt:lpstr>reporte</vt:lpstr>
      <vt:lpstr>rotas</vt:lpstr>
      <vt:lpstr>total_ag</vt:lpstr>
      <vt:lpstr>total_ag1</vt:lpstr>
      <vt:lpstr>total_alt_corte</vt:lpstr>
      <vt:lpstr>total_cu</vt:lpstr>
      <vt:lpstr>total_cu1</vt:lpstr>
      <vt:lpstr>total_dilucion</vt:lpstr>
      <vt:lpstr>total_dilucion_econo</vt:lpstr>
      <vt:lpstr>total_dilucion_noecono</vt:lpstr>
      <vt:lpstr>total_dilusion</vt:lpstr>
      <vt:lpstr>total_long_corte</vt:lpstr>
      <vt:lpstr>total_pb</vt:lpstr>
      <vt:lpstr>total_pb1</vt:lpstr>
      <vt:lpstr>total_tms_extraido</vt:lpstr>
      <vt:lpstr>total_tms_rot_dil</vt:lpstr>
      <vt:lpstr>total_tms_rot_vet</vt:lpstr>
      <vt:lpstr>total_veta</vt:lpstr>
      <vt:lpstr>total_veta_econo</vt:lpstr>
      <vt:lpstr>total_veta_noecono</vt:lpstr>
      <vt:lpstr>total_vpt1</vt:lpstr>
      <vt:lpstr>total_zn1</vt:lpstr>
      <vt:lpstr>val_vpt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jreategui</dc:creator>
  <cp:lastModifiedBy>jreategui</cp:lastModifiedBy>
  <cp:lastPrinted>2010-07-14T19:53:51Z</cp:lastPrinted>
  <dcterms:created xsi:type="dcterms:W3CDTF">2010-07-13T15:24:44Z</dcterms:created>
  <dcterms:modified xsi:type="dcterms:W3CDTF">2010-07-14T19:54:01Z</dcterms:modified>
</cp:coreProperties>
</file>